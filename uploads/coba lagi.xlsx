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<sst xmlns="http://schemas.openxmlformats.org/spreadsheetml/2006/main" count="29" uniqueCount="29">
  <si>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Kanca</t>
  </si>
  <si>
    <t>Non-produktif</t>
  </si>
  <si>
    <t>Produktif</t>
  </si>
  <si>
    <t>Grand Total</t>
  </si>
  <si>
    <t>Persentase</t>
  </si>
  <si>
    <t>Target</t>
  </si>
  <si>
    <t>%Pencapaian</t>
  </si>
  <si>
    <t>KC Teluk Kuantan</t>
  </si>
  <si>
    <t>KC Selat Panjang</t>
  </si>
  <si>
    <t>KC Bagan Batu</t>
  </si>
  <si>
    <t>KC Pekanbaru Sudirman</t>
  </si>
  <si>
    <t>KC Pekanbaru Tuanku Tambusai</t>
  </si>
  <si>
    <t>KC Bengkalis</t>
  </si>
  <si>
    <t>KC Bangkinang</t>
  </si>
  <si>
    <t>KC Rengat</t>
  </si>
  <si>
    <t>KC Tanjung Pinang</t>
  </si>
  <si>
    <t>KC Tembilahan</t>
  </si>
  <si>
    <t>KC Pangkalan Kerinci</t>
  </si>
  <si>
    <t>KC Ujung Batu</t>
  </si>
  <si>
    <t>KC Tanjung Balai Karimun</t>
  </si>
  <si>
    <t>KC Batam Center</t>
  </si>
  <si>
    <t>KC Perawang</t>
  </si>
  <si>
    <t>KC Bagan Siapi api</t>
  </si>
  <si>
    <t>KC Dumai</t>
  </si>
  <si>
    <t>KC Siak</t>
  </si>
  <si>
    <t>KC Pasir Pengaraian</t>
  </si>
  <si>
    <t>KC Duri</t>
  </si>
  <si>
    <t>KC Pekanbaru Lancang Kuning</t>
  </si>
  <si>
    <t>KC Batam Nagoya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</si>
</sst>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gress%20Produktivitas%20EDC%20UKO%20Agustus%2020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DATA EDCPRO"/>
      <sheetName val="1"/>
      <sheetName val="2"/>
      <sheetName val="3"/>
      <sheetName val="4-10"/>
      <sheetName val="11-17"/>
      <sheetName val="18-24"/>
      <sheetName val="25-31"/>
    </sheetNames>
    <sheetDataSet>
      <sheetData sheetId="0"/>
      <sheetData sheetId="1">
        <row r="1">
          <cell r="F1" t="str">
            <v>uker_nama_pemrakarsa</v>
          </cell>
        </row>
        <row r="1">
          <cell r="I1" t="str">
            <v>Total Trx</v>
          </cell>
        </row>
        <row r="2">
          <cell r="I2" t="e">
            <v>#N/A</v>
          </cell>
        </row>
        <row r="3">
          <cell r="I3">
            <v>201</v>
          </cell>
        </row>
        <row r="4">
          <cell r="I4">
            <v>455</v>
          </cell>
        </row>
        <row r="5">
          <cell r="I5">
            <v>346</v>
          </cell>
        </row>
        <row r="6">
          <cell r="I6">
            <v>447</v>
          </cell>
        </row>
        <row r="7">
          <cell r="I7">
            <v>28</v>
          </cell>
        </row>
        <row r="8">
          <cell r="I8">
            <v>1294</v>
          </cell>
        </row>
        <row r="9">
          <cell r="I9">
            <v>831</v>
          </cell>
        </row>
        <row r="10">
          <cell r="I10">
            <v>716</v>
          </cell>
        </row>
        <row r="11">
          <cell r="I11">
            <v>186</v>
          </cell>
        </row>
        <row r="12">
          <cell r="I12">
            <v>358</v>
          </cell>
        </row>
        <row r="13">
          <cell r="I13">
            <v>190</v>
          </cell>
        </row>
        <row r="14">
          <cell r="I14">
            <v>200</v>
          </cell>
        </row>
        <row r="15">
          <cell r="I15">
            <v>373</v>
          </cell>
        </row>
        <row r="16">
          <cell r="I16">
            <v>188</v>
          </cell>
        </row>
        <row r="17">
          <cell r="I17">
            <v>577</v>
          </cell>
        </row>
        <row r="18">
          <cell r="I18">
            <v>186</v>
          </cell>
        </row>
        <row r="19">
          <cell r="I19">
            <v>648</v>
          </cell>
        </row>
        <row r="20">
          <cell r="I20">
            <v>756</v>
          </cell>
        </row>
        <row r="21">
          <cell r="I21">
            <v>322</v>
          </cell>
        </row>
        <row r="22">
          <cell r="I22">
            <v>616</v>
          </cell>
        </row>
        <row r="23">
          <cell r="I23">
            <v>625</v>
          </cell>
        </row>
        <row r="24">
          <cell r="I24">
            <v>482</v>
          </cell>
        </row>
        <row r="25">
          <cell r="I25">
            <v>536</v>
          </cell>
        </row>
        <row r="26">
          <cell r="I26">
            <v>389</v>
          </cell>
        </row>
        <row r="27">
          <cell r="I27">
            <v>577</v>
          </cell>
        </row>
        <row r="28">
          <cell r="I28">
            <v>77</v>
          </cell>
        </row>
        <row r="29">
          <cell r="I29">
            <v>267</v>
          </cell>
        </row>
        <row r="30">
          <cell r="I30">
            <v>527</v>
          </cell>
        </row>
        <row r="31">
          <cell r="I31">
            <v>77</v>
          </cell>
        </row>
        <row r="32">
          <cell r="I32">
            <v>663</v>
          </cell>
        </row>
        <row r="33">
          <cell r="I33">
            <v>541</v>
          </cell>
        </row>
        <row r="34">
          <cell r="I34">
            <v>137</v>
          </cell>
        </row>
        <row r="35">
          <cell r="I35">
            <v>99</v>
          </cell>
        </row>
        <row r="36">
          <cell r="I36">
            <v>288</v>
          </cell>
        </row>
        <row r="37">
          <cell r="I37">
            <v>688</v>
          </cell>
        </row>
        <row r="38">
          <cell r="I38">
            <v>586</v>
          </cell>
        </row>
        <row r="39">
          <cell r="I39">
            <v>1116</v>
          </cell>
        </row>
        <row r="40">
          <cell r="I40">
            <v>1684</v>
          </cell>
        </row>
        <row r="41">
          <cell r="I41">
            <v>2876</v>
          </cell>
        </row>
        <row r="42">
          <cell r="I42">
            <v>174</v>
          </cell>
        </row>
        <row r="43">
          <cell r="I43">
            <v>110</v>
          </cell>
        </row>
        <row r="44">
          <cell r="I44">
            <v>622</v>
          </cell>
        </row>
        <row r="45">
          <cell r="I45">
            <v>810</v>
          </cell>
        </row>
        <row r="46">
          <cell r="I46">
            <v>1882</v>
          </cell>
        </row>
        <row r="47">
          <cell r="I47">
            <v>1600</v>
          </cell>
        </row>
        <row r="48">
          <cell r="I48">
            <v>1571</v>
          </cell>
        </row>
        <row r="49">
          <cell r="I49">
            <v>2723</v>
          </cell>
        </row>
        <row r="50">
          <cell r="I50">
            <v>1545</v>
          </cell>
        </row>
        <row r="51">
          <cell r="I51">
            <v>271</v>
          </cell>
        </row>
        <row r="52">
          <cell r="I52">
            <v>899</v>
          </cell>
        </row>
        <row r="53">
          <cell r="I53">
            <v>789</v>
          </cell>
        </row>
        <row r="54">
          <cell r="I54">
            <v>599</v>
          </cell>
        </row>
        <row r="55">
          <cell r="I55">
            <v>170</v>
          </cell>
        </row>
        <row r="56">
          <cell r="I56">
            <v>1059</v>
          </cell>
        </row>
        <row r="57">
          <cell r="I57">
            <v>137</v>
          </cell>
        </row>
        <row r="58">
          <cell r="I58">
            <v>186</v>
          </cell>
        </row>
        <row r="59">
          <cell r="I59">
            <v>2</v>
          </cell>
        </row>
        <row r="60">
          <cell r="I60">
            <v>1368</v>
          </cell>
        </row>
        <row r="61">
          <cell r="I61">
            <v>20</v>
          </cell>
        </row>
        <row r="62">
          <cell r="I62">
            <v>1029</v>
          </cell>
        </row>
        <row r="63">
          <cell r="I63">
            <v>167</v>
          </cell>
        </row>
        <row r="64">
          <cell r="I64">
            <v>160</v>
          </cell>
        </row>
        <row r="65">
          <cell r="I65">
            <v>12</v>
          </cell>
        </row>
        <row r="66">
          <cell r="I66">
            <v>65</v>
          </cell>
        </row>
        <row r="67">
          <cell r="I67">
            <v>152</v>
          </cell>
        </row>
        <row r="68">
          <cell r="I68">
            <v>195</v>
          </cell>
        </row>
        <row r="69">
          <cell r="I69">
            <v>164</v>
          </cell>
        </row>
        <row r="70">
          <cell r="I70">
            <v>1552</v>
          </cell>
        </row>
        <row r="71">
          <cell r="I71">
            <v>2324</v>
          </cell>
        </row>
        <row r="72">
          <cell r="I72">
            <v>312</v>
          </cell>
        </row>
        <row r="73">
          <cell r="I73">
            <v>1010</v>
          </cell>
        </row>
        <row r="74">
          <cell r="I74">
            <v>817</v>
          </cell>
        </row>
        <row r="75">
          <cell r="I75">
            <v>1971</v>
          </cell>
        </row>
        <row r="76">
          <cell r="I76">
            <v>281</v>
          </cell>
        </row>
        <row r="77">
          <cell r="I77">
            <v>1133</v>
          </cell>
        </row>
        <row r="78">
          <cell r="I78">
            <v>1142</v>
          </cell>
        </row>
        <row r="79">
          <cell r="I79">
            <v>171</v>
          </cell>
        </row>
        <row r="80">
          <cell r="I80">
            <v>750</v>
          </cell>
        </row>
        <row r="81">
          <cell r="I81">
            <v>487</v>
          </cell>
        </row>
        <row r="82">
          <cell r="I82">
            <v>1131</v>
          </cell>
        </row>
        <row r="83">
          <cell r="I83">
            <v>91</v>
          </cell>
        </row>
        <row r="84">
          <cell r="I84">
            <v>665</v>
          </cell>
        </row>
        <row r="85">
          <cell r="I85">
            <v>473</v>
          </cell>
        </row>
        <row r="86">
          <cell r="I86">
            <v>891</v>
          </cell>
        </row>
        <row r="87">
          <cell r="I87">
            <v>624</v>
          </cell>
        </row>
        <row r="88">
          <cell r="I88">
            <v>1487</v>
          </cell>
        </row>
        <row r="89">
          <cell r="I89">
            <v>599</v>
          </cell>
        </row>
        <row r="90">
          <cell r="I90">
            <v>786</v>
          </cell>
        </row>
        <row r="91">
          <cell r="I91">
            <v>277</v>
          </cell>
        </row>
        <row r="92">
          <cell r="I92">
            <v>1426</v>
          </cell>
        </row>
        <row r="93">
          <cell r="I93">
            <v>10</v>
          </cell>
        </row>
        <row r="94">
          <cell r="I94">
            <v>474</v>
          </cell>
        </row>
        <row r="95">
          <cell r="I95">
            <v>1192</v>
          </cell>
        </row>
        <row r="96">
          <cell r="I96">
            <v>2</v>
          </cell>
        </row>
        <row r="97">
          <cell r="I97">
            <v>1499</v>
          </cell>
        </row>
        <row r="98">
          <cell r="I98">
            <v>2088</v>
          </cell>
        </row>
        <row r="99">
          <cell r="I99">
            <v>292</v>
          </cell>
        </row>
        <row r="100">
          <cell r="I100">
            <v>283</v>
          </cell>
        </row>
        <row r="101">
          <cell r="I101">
            <v>69</v>
          </cell>
        </row>
        <row r="102">
          <cell r="I102">
            <v>546</v>
          </cell>
        </row>
        <row r="103">
          <cell r="I103">
            <v>1027</v>
          </cell>
        </row>
        <row r="104">
          <cell r="I104">
            <v>651</v>
          </cell>
        </row>
        <row r="105">
          <cell r="I105">
            <v>2</v>
          </cell>
        </row>
        <row r="106">
          <cell r="I106">
            <v>101</v>
          </cell>
        </row>
        <row r="107">
          <cell r="I107">
            <v>92</v>
          </cell>
        </row>
        <row r="108">
          <cell r="I108">
            <v>164</v>
          </cell>
        </row>
        <row r="109">
          <cell r="I109">
            <v>46</v>
          </cell>
        </row>
        <row r="110">
          <cell r="I110">
            <v>355</v>
          </cell>
        </row>
        <row r="111">
          <cell r="I111">
            <v>362</v>
          </cell>
        </row>
        <row r="112">
          <cell r="I112">
            <v>341</v>
          </cell>
        </row>
        <row r="113">
          <cell r="I113">
            <v>425</v>
          </cell>
        </row>
        <row r="114">
          <cell r="I114">
            <v>597</v>
          </cell>
        </row>
        <row r="115">
          <cell r="I115">
            <v>163</v>
          </cell>
        </row>
        <row r="116">
          <cell r="I116">
            <v>537</v>
          </cell>
        </row>
        <row r="117">
          <cell r="I117">
            <v>192</v>
          </cell>
        </row>
        <row r="118">
          <cell r="I118">
            <v>657</v>
          </cell>
        </row>
        <row r="119">
          <cell r="I119">
            <v>860</v>
          </cell>
        </row>
        <row r="120">
          <cell r="I120">
            <v>325</v>
          </cell>
        </row>
        <row r="121">
          <cell r="I121">
            <v>64</v>
          </cell>
        </row>
        <row r="122">
          <cell r="I122">
            <v>390</v>
          </cell>
        </row>
        <row r="123">
          <cell r="I123">
            <v>529</v>
          </cell>
        </row>
        <row r="124">
          <cell r="I124">
            <v>78</v>
          </cell>
        </row>
        <row r="125">
          <cell r="I125">
            <v>1457</v>
          </cell>
        </row>
        <row r="126">
          <cell r="I126">
            <v>202</v>
          </cell>
        </row>
        <row r="127">
          <cell r="I127">
            <v>6</v>
          </cell>
        </row>
        <row r="128">
          <cell r="I128">
            <v>816</v>
          </cell>
        </row>
        <row r="129">
          <cell r="I129">
            <v>95</v>
          </cell>
        </row>
        <row r="130">
          <cell r="I130">
            <v>823</v>
          </cell>
        </row>
        <row r="131">
          <cell r="I131">
            <v>293</v>
          </cell>
        </row>
        <row r="132">
          <cell r="I132">
            <v>48</v>
          </cell>
        </row>
        <row r="133">
          <cell r="I133">
            <v>238</v>
          </cell>
        </row>
        <row r="134">
          <cell r="I134">
            <v>488</v>
          </cell>
        </row>
        <row r="135">
          <cell r="I135">
            <v>203</v>
          </cell>
        </row>
        <row r="136">
          <cell r="I136">
            <v>273</v>
          </cell>
        </row>
        <row r="137">
          <cell r="I137">
            <v>223</v>
          </cell>
        </row>
        <row r="138">
          <cell r="I138">
            <v>2337</v>
          </cell>
        </row>
        <row r="139">
          <cell r="I139">
            <v>553</v>
          </cell>
        </row>
        <row r="140">
          <cell r="I140">
            <v>412</v>
          </cell>
        </row>
        <row r="141">
          <cell r="I141">
            <v>168</v>
          </cell>
        </row>
        <row r="142">
          <cell r="I142">
            <v>260</v>
          </cell>
        </row>
        <row r="143">
          <cell r="I143">
            <v>490</v>
          </cell>
        </row>
        <row r="144">
          <cell r="I144">
            <v>6</v>
          </cell>
        </row>
        <row r="145">
          <cell r="I145">
            <v>773</v>
          </cell>
        </row>
        <row r="146">
          <cell r="I146">
            <v>767</v>
          </cell>
        </row>
        <row r="147">
          <cell r="I147">
            <v>309</v>
          </cell>
        </row>
        <row r="148">
          <cell r="I148">
            <v>135</v>
          </cell>
        </row>
        <row r="149">
          <cell r="I149">
            <v>1446</v>
          </cell>
        </row>
        <row r="150">
          <cell r="I150">
            <v>387</v>
          </cell>
        </row>
        <row r="151">
          <cell r="I151">
            <v>525</v>
          </cell>
        </row>
        <row r="152">
          <cell r="I152">
            <v>12</v>
          </cell>
        </row>
        <row r="153">
          <cell r="I153">
            <v>473</v>
          </cell>
        </row>
        <row r="154">
          <cell r="I154">
            <v>1045</v>
          </cell>
        </row>
        <row r="155">
          <cell r="I155">
            <v>101</v>
          </cell>
        </row>
        <row r="156">
          <cell r="I156">
            <v>752</v>
          </cell>
        </row>
        <row r="157">
          <cell r="I157">
            <v>339</v>
          </cell>
        </row>
        <row r="158">
          <cell r="I158">
            <v>783</v>
          </cell>
        </row>
        <row r="159">
          <cell r="I159">
            <v>319</v>
          </cell>
        </row>
        <row r="160">
          <cell r="I160">
            <v>674</v>
          </cell>
        </row>
        <row r="161">
          <cell r="I161">
            <v>52</v>
          </cell>
        </row>
        <row r="162">
          <cell r="I162">
            <v>471</v>
          </cell>
        </row>
        <row r="163">
          <cell r="I163">
            <v>12</v>
          </cell>
        </row>
        <row r="164">
          <cell r="I164">
            <v>2595</v>
          </cell>
        </row>
        <row r="165">
          <cell r="I165">
            <v>16</v>
          </cell>
        </row>
        <row r="166">
          <cell r="I166">
            <v>574</v>
          </cell>
        </row>
        <row r="167">
          <cell r="I167">
            <v>585</v>
          </cell>
        </row>
        <row r="168">
          <cell r="I168">
            <v>302</v>
          </cell>
        </row>
        <row r="169">
          <cell r="I169">
            <v>474</v>
          </cell>
        </row>
        <row r="170">
          <cell r="I170">
            <v>376</v>
          </cell>
        </row>
        <row r="171">
          <cell r="I171">
            <v>845</v>
          </cell>
        </row>
        <row r="172">
          <cell r="I172">
            <v>813</v>
          </cell>
        </row>
        <row r="173">
          <cell r="I173">
            <v>804</v>
          </cell>
        </row>
        <row r="174">
          <cell r="I174">
            <v>726</v>
          </cell>
        </row>
        <row r="175">
          <cell r="I175">
            <v>242</v>
          </cell>
        </row>
        <row r="176">
          <cell r="I176">
            <v>0</v>
          </cell>
        </row>
        <row r="177">
          <cell r="I177">
            <v>0</v>
          </cell>
        </row>
        <row r="178">
          <cell r="I178">
            <v>56</v>
          </cell>
        </row>
        <row r="179">
          <cell r="I179">
            <v>582</v>
          </cell>
        </row>
        <row r="180">
          <cell r="I180">
            <v>41</v>
          </cell>
        </row>
        <row r="181">
          <cell r="I181">
            <v>208</v>
          </cell>
        </row>
        <row r="182">
          <cell r="I182">
            <v>375</v>
          </cell>
        </row>
        <row r="183">
          <cell r="I183">
            <v>523</v>
          </cell>
        </row>
        <row r="184">
          <cell r="I184">
            <v>418</v>
          </cell>
        </row>
        <row r="185">
          <cell r="I185">
            <v>174</v>
          </cell>
        </row>
        <row r="186">
          <cell r="I186">
            <v>244</v>
          </cell>
        </row>
        <row r="187">
          <cell r="I187">
            <v>292</v>
          </cell>
        </row>
        <row r="188">
          <cell r="I188">
            <v>506</v>
          </cell>
        </row>
        <row r="189">
          <cell r="I189">
            <v>205</v>
          </cell>
        </row>
        <row r="190">
          <cell r="I190">
            <v>202</v>
          </cell>
        </row>
        <row r="191">
          <cell r="I191">
            <v>339</v>
          </cell>
        </row>
        <row r="192">
          <cell r="I192">
            <v>340</v>
          </cell>
        </row>
        <row r="193">
          <cell r="I193">
            <v>322</v>
          </cell>
        </row>
        <row r="194">
          <cell r="I194">
            <v>273</v>
          </cell>
        </row>
        <row r="195">
          <cell r="I195">
            <v>381</v>
          </cell>
        </row>
        <row r="196">
          <cell r="I196">
            <v>363</v>
          </cell>
        </row>
        <row r="197">
          <cell r="I197">
            <v>255</v>
          </cell>
        </row>
        <row r="198">
          <cell r="I198">
            <v>7</v>
          </cell>
        </row>
        <row r="199">
          <cell r="I199">
            <v>0</v>
          </cell>
        </row>
        <row r="200">
          <cell r="I200">
            <v>555</v>
          </cell>
        </row>
        <row r="201">
          <cell r="I201">
            <v>1602</v>
          </cell>
        </row>
        <row r="202">
          <cell r="I202">
            <v>499</v>
          </cell>
        </row>
        <row r="203">
          <cell r="I203">
            <v>392</v>
          </cell>
        </row>
        <row r="204">
          <cell r="I204">
            <v>5</v>
          </cell>
        </row>
        <row r="205">
          <cell r="I205">
            <v>519</v>
          </cell>
        </row>
        <row r="206">
          <cell r="I206">
            <v>461</v>
          </cell>
        </row>
        <row r="207">
          <cell r="I207">
            <v>387</v>
          </cell>
        </row>
        <row r="208">
          <cell r="I208">
            <v>821</v>
          </cell>
        </row>
        <row r="209">
          <cell r="I209">
            <v>344</v>
          </cell>
        </row>
        <row r="210">
          <cell r="I210">
            <v>668</v>
          </cell>
        </row>
        <row r="211">
          <cell r="I211">
            <v>628</v>
          </cell>
        </row>
        <row r="212">
          <cell r="I212">
            <v>121</v>
          </cell>
        </row>
        <row r="213">
          <cell r="I213">
            <v>226</v>
          </cell>
        </row>
        <row r="214">
          <cell r="I214">
            <v>1570</v>
          </cell>
        </row>
        <row r="215">
          <cell r="I215">
            <v>1392</v>
          </cell>
        </row>
        <row r="216">
          <cell r="I216">
            <v>56</v>
          </cell>
        </row>
        <row r="217">
          <cell r="I217">
            <v>310</v>
          </cell>
        </row>
        <row r="218">
          <cell r="I218">
            <v>314</v>
          </cell>
        </row>
        <row r="219">
          <cell r="I219">
            <v>712</v>
          </cell>
        </row>
        <row r="220">
          <cell r="I220">
            <v>713</v>
          </cell>
        </row>
        <row r="221">
          <cell r="I221">
            <v>321</v>
          </cell>
        </row>
        <row r="222">
          <cell r="I222">
            <v>65</v>
          </cell>
        </row>
        <row r="223">
          <cell r="I223">
            <v>1398</v>
          </cell>
        </row>
        <row r="224">
          <cell r="I224">
            <v>24</v>
          </cell>
        </row>
        <row r="225">
          <cell r="I225">
            <v>155</v>
          </cell>
        </row>
        <row r="226">
          <cell r="I226">
            <v>15</v>
          </cell>
        </row>
        <row r="227">
          <cell r="I227">
            <v>425</v>
          </cell>
        </row>
        <row r="228">
          <cell r="I228">
            <v>174</v>
          </cell>
        </row>
        <row r="229">
          <cell r="I229">
            <v>463</v>
          </cell>
        </row>
        <row r="230">
          <cell r="I230">
            <v>756</v>
          </cell>
        </row>
        <row r="231">
          <cell r="I231">
            <v>277</v>
          </cell>
        </row>
        <row r="232">
          <cell r="I232">
            <v>27</v>
          </cell>
        </row>
        <row r="233">
          <cell r="I233">
            <v>542</v>
          </cell>
        </row>
        <row r="234">
          <cell r="I234">
            <v>1429</v>
          </cell>
        </row>
        <row r="235">
          <cell r="I235">
            <v>34</v>
          </cell>
        </row>
        <row r="236">
          <cell r="I236">
            <v>1446</v>
          </cell>
        </row>
        <row r="237">
          <cell r="I237">
            <v>130</v>
          </cell>
        </row>
        <row r="238">
          <cell r="I238">
            <v>207</v>
          </cell>
        </row>
        <row r="239">
          <cell r="I239">
            <v>289</v>
          </cell>
        </row>
        <row r="240">
          <cell r="I240">
            <v>1034</v>
          </cell>
        </row>
        <row r="241">
          <cell r="I241">
            <v>657</v>
          </cell>
        </row>
        <row r="242">
          <cell r="I242">
            <v>116</v>
          </cell>
        </row>
        <row r="243">
          <cell r="I243">
            <v>661</v>
          </cell>
        </row>
        <row r="244">
          <cell r="I244">
            <v>907</v>
          </cell>
        </row>
        <row r="245">
          <cell r="I245">
            <v>518</v>
          </cell>
        </row>
        <row r="246">
          <cell r="I246">
            <v>80</v>
          </cell>
        </row>
        <row r="247">
          <cell r="I247">
            <v>734</v>
          </cell>
        </row>
        <row r="248">
          <cell r="I248">
            <v>404</v>
          </cell>
        </row>
        <row r="249">
          <cell r="I249">
            <v>415</v>
          </cell>
        </row>
        <row r="250">
          <cell r="I250">
            <v>995</v>
          </cell>
        </row>
        <row r="251">
          <cell r="I251">
            <v>765</v>
          </cell>
        </row>
        <row r="252">
          <cell r="I252">
            <v>539</v>
          </cell>
        </row>
        <row r="253">
          <cell r="I253">
            <v>543</v>
          </cell>
        </row>
        <row r="254">
          <cell r="I254">
            <v>591</v>
          </cell>
        </row>
        <row r="255">
          <cell r="I255">
            <v>711</v>
          </cell>
        </row>
        <row r="256">
          <cell r="I256">
            <v>4290</v>
          </cell>
        </row>
        <row r="257">
          <cell r="I257">
            <v>471</v>
          </cell>
        </row>
        <row r="258">
          <cell r="I258">
            <v>709</v>
          </cell>
        </row>
        <row r="259">
          <cell r="I259">
            <v>190</v>
          </cell>
        </row>
        <row r="260">
          <cell r="I260">
            <v>804</v>
          </cell>
        </row>
        <row r="261">
          <cell r="I261">
            <v>861</v>
          </cell>
        </row>
        <row r="262">
          <cell r="I262">
            <v>900</v>
          </cell>
        </row>
        <row r="263">
          <cell r="I263">
            <v>269</v>
          </cell>
        </row>
        <row r="264">
          <cell r="I264">
            <v>507</v>
          </cell>
        </row>
        <row r="265">
          <cell r="I265">
            <v>270</v>
          </cell>
        </row>
        <row r="266">
          <cell r="I266">
            <v>126</v>
          </cell>
        </row>
        <row r="267">
          <cell r="I267">
            <v>282</v>
          </cell>
        </row>
        <row r="268">
          <cell r="I268">
            <v>122</v>
          </cell>
        </row>
        <row r="269">
          <cell r="I269">
            <v>771</v>
          </cell>
        </row>
        <row r="270">
          <cell r="I270">
            <v>902</v>
          </cell>
        </row>
        <row r="271">
          <cell r="I271">
            <v>458</v>
          </cell>
        </row>
        <row r="272">
          <cell r="I272">
            <v>198</v>
          </cell>
        </row>
        <row r="273">
          <cell r="I273">
            <v>264</v>
          </cell>
        </row>
        <row r="274">
          <cell r="I274">
            <v>391</v>
          </cell>
        </row>
        <row r="275">
          <cell r="I275">
            <v>324</v>
          </cell>
        </row>
        <row r="276">
          <cell r="I276">
            <v>1092</v>
          </cell>
        </row>
        <row r="277">
          <cell r="I277">
            <v>1517</v>
          </cell>
        </row>
        <row r="278">
          <cell r="I278">
            <v>901</v>
          </cell>
        </row>
        <row r="279">
          <cell r="I279">
            <v>1637</v>
          </cell>
        </row>
        <row r="280">
          <cell r="I280">
            <v>58</v>
          </cell>
        </row>
        <row r="281">
          <cell r="I281">
            <v>1096</v>
          </cell>
        </row>
        <row r="282">
          <cell r="I282">
            <v>792</v>
          </cell>
        </row>
        <row r="283">
          <cell r="I283">
            <v>814</v>
          </cell>
        </row>
        <row r="284">
          <cell r="I284">
            <v>243</v>
          </cell>
        </row>
        <row r="285">
          <cell r="I285">
            <v>1208</v>
          </cell>
        </row>
        <row r="286">
          <cell r="I286">
            <v>649</v>
          </cell>
        </row>
        <row r="287">
          <cell r="I287">
            <v>1441</v>
          </cell>
        </row>
        <row r="288">
          <cell r="I288">
            <v>507</v>
          </cell>
        </row>
        <row r="289">
          <cell r="I289">
            <v>78</v>
          </cell>
        </row>
        <row r="290">
          <cell r="I290">
            <v>347</v>
          </cell>
        </row>
        <row r="291">
          <cell r="I291">
            <v>1045</v>
          </cell>
        </row>
        <row r="292">
          <cell r="I292">
            <v>849</v>
          </cell>
        </row>
        <row r="293">
          <cell r="I293">
            <v>662</v>
          </cell>
        </row>
        <row r="294">
          <cell r="I294">
            <v>719</v>
          </cell>
        </row>
        <row r="295">
          <cell r="I295">
            <v>176</v>
          </cell>
        </row>
        <row r="296">
          <cell r="I296">
            <v>382</v>
          </cell>
        </row>
        <row r="297">
          <cell r="I297">
            <v>649</v>
          </cell>
        </row>
        <row r="298">
          <cell r="I298">
            <v>593</v>
          </cell>
        </row>
        <row r="299">
          <cell r="I299">
            <v>844</v>
          </cell>
        </row>
        <row r="300">
          <cell r="I300">
            <v>706</v>
          </cell>
        </row>
        <row r="301">
          <cell r="I301">
            <v>33</v>
          </cell>
        </row>
        <row r="302">
          <cell r="I302">
            <v>928</v>
          </cell>
        </row>
        <row r="303">
          <cell r="I303">
            <v>477</v>
          </cell>
        </row>
        <row r="304">
          <cell r="I304">
            <v>1295</v>
          </cell>
        </row>
        <row r="305">
          <cell r="I305">
            <v>1529</v>
          </cell>
        </row>
        <row r="306">
          <cell r="I306">
            <v>1573</v>
          </cell>
        </row>
        <row r="307">
          <cell r="I307">
            <v>1544</v>
          </cell>
        </row>
        <row r="308">
          <cell r="I308">
            <v>134</v>
          </cell>
        </row>
        <row r="309">
          <cell r="I309">
            <v>1068</v>
          </cell>
        </row>
        <row r="310">
          <cell r="I310">
            <v>765</v>
          </cell>
        </row>
        <row r="311">
          <cell r="I311">
            <v>3</v>
          </cell>
        </row>
        <row r="312">
          <cell r="I312">
            <v>334</v>
          </cell>
        </row>
        <row r="313">
          <cell r="I313">
            <v>505</v>
          </cell>
        </row>
        <row r="314">
          <cell r="I314">
            <v>585</v>
          </cell>
        </row>
        <row r="315">
          <cell r="I315">
            <v>1446</v>
          </cell>
        </row>
        <row r="316">
          <cell r="I316">
            <v>347</v>
          </cell>
        </row>
        <row r="317">
          <cell r="I317">
            <v>281</v>
          </cell>
        </row>
        <row r="318">
          <cell r="I318" t="e">
            <v>#N/A</v>
          </cell>
        </row>
        <row r="319">
          <cell r="I319">
            <v>304</v>
          </cell>
        </row>
        <row r="320">
          <cell r="I320">
            <v>288</v>
          </cell>
        </row>
        <row r="321">
          <cell r="I321">
            <v>484</v>
          </cell>
        </row>
        <row r="322">
          <cell r="I322">
            <v>309</v>
          </cell>
        </row>
        <row r="323">
          <cell r="I323">
            <v>508</v>
          </cell>
        </row>
        <row r="324">
          <cell r="I324">
            <v>373</v>
          </cell>
        </row>
        <row r="325">
          <cell r="I325">
            <v>318</v>
          </cell>
        </row>
        <row r="326">
          <cell r="I326" t="e">
            <v>#N/A</v>
          </cell>
        </row>
        <row r="327">
          <cell r="I327">
            <v>430</v>
          </cell>
        </row>
        <row r="328">
          <cell r="I328">
            <v>203</v>
          </cell>
        </row>
        <row r="329">
          <cell r="I329">
            <v>735</v>
          </cell>
        </row>
        <row r="330">
          <cell r="I330">
            <v>179</v>
          </cell>
        </row>
        <row r="331">
          <cell r="I331">
            <v>32</v>
          </cell>
        </row>
        <row r="332">
          <cell r="I332">
            <v>233</v>
          </cell>
        </row>
        <row r="333">
          <cell r="I333">
            <v>576</v>
          </cell>
        </row>
        <row r="334">
          <cell r="I334">
            <v>74</v>
          </cell>
        </row>
        <row r="335">
          <cell r="I335">
            <v>495</v>
          </cell>
        </row>
        <row r="336">
          <cell r="I336" t="e">
            <v>#N/A</v>
          </cell>
        </row>
        <row r="337">
          <cell r="I337">
            <v>10</v>
          </cell>
        </row>
        <row r="338">
          <cell r="I338">
            <v>149</v>
          </cell>
        </row>
        <row r="339">
          <cell r="I339">
            <v>530</v>
          </cell>
        </row>
        <row r="340">
          <cell r="I340">
            <v>1752</v>
          </cell>
        </row>
        <row r="341">
          <cell r="I341">
            <v>501</v>
          </cell>
        </row>
        <row r="342">
          <cell r="I342">
            <v>306</v>
          </cell>
        </row>
        <row r="343">
          <cell r="I343">
            <v>512</v>
          </cell>
        </row>
        <row r="344">
          <cell r="I344">
            <v>448</v>
          </cell>
        </row>
        <row r="345">
          <cell r="I345">
            <v>207</v>
          </cell>
        </row>
        <row r="346">
          <cell r="I346">
            <v>1543</v>
          </cell>
        </row>
        <row r="347">
          <cell r="I347">
            <v>1183</v>
          </cell>
        </row>
        <row r="348">
          <cell r="I348">
            <v>323</v>
          </cell>
        </row>
        <row r="349">
          <cell r="I349">
            <v>254</v>
          </cell>
        </row>
        <row r="350">
          <cell r="I350">
            <v>272</v>
          </cell>
        </row>
        <row r="351">
          <cell r="I351">
            <v>427</v>
          </cell>
        </row>
        <row r="352">
          <cell r="I352">
            <v>210</v>
          </cell>
        </row>
        <row r="353">
          <cell r="I353">
            <v>207</v>
          </cell>
        </row>
        <row r="354">
          <cell r="I354">
            <v>281</v>
          </cell>
        </row>
        <row r="355">
          <cell r="I355">
            <v>284</v>
          </cell>
        </row>
        <row r="356">
          <cell r="I356">
            <v>138</v>
          </cell>
        </row>
        <row r="357">
          <cell r="I357">
            <v>425</v>
          </cell>
        </row>
        <row r="358">
          <cell r="I358">
            <v>464</v>
          </cell>
        </row>
        <row r="359">
          <cell r="I359">
            <v>472</v>
          </cell>
        </row>
        <row r="360">
          <cell r="I360">
            <v>430</v>
          </cell>
        </row>
        <row r="361">
          <cell r="I361">
            <v>412</v>
          </cell>
        </row>
        <row r="362">
          <cell r="I362">
            <v>382</v>
          </cell>
        </row>
        <row r="363">
          <cell r="I363">
            <v>414</v>
          </cell>
        </row>
        <row r="364">
          <cell r="I364">
            <v>577</v>
          </cell>
        </row>
        <row r="365">
          <cell r="I365">
            <v>36</v>
          </cell>
        </row>
        <row r="366">
          <cell r="I366">
            <v>351</v>
          </cell>
        </row>
        <row r="367">
          <cell r="I367">
            <v>532</v>
          </cell>
        </row>
        <row r="368">
          <cell r="I368">
            <v>491</v>
          </cell>
        </row>
        <row r="369">
          <cell r="I369">
            <v>92</v>
          </cell>
        </row>
        <row r="370">
          <cell r="I370">
            <v>372</v>
          </cell>
        </row>
        <row r="371">
          <cell r="I371">
            <v>186</v>
          </cell>
        </row>
        <row r="372">
          <cell r="I372">
            <v>832</v>
          </cell>
        </row>
        <row r="373">
          <cell r="I373">
            <v>6</v>
          </cell>
        </row>
        <row r="374">
          <cell r="I374">
            <v>20</v>
          </cell>
        </row>
        <row r="375">
          <cell r="I375">
            <v>213</v>
          </cell>
        </row>
        <row r="376">
          <cell r="I376">
            <v>159</v>
          </cell>
        </row>
        <row r="377">
          <cell r="I377">
            <v>674</v>
          </cell>
        </row>
        <row r="378">
          <cell r="I378">
            <v>1078</v>
          </cell>
        </row>
        <row r="379">
          <cell r="I379">
            <v>1389</v>
          </cell>
        </row>
        <row r="380">
          <cell r="I380">
            <v>1050</v>
          </cell>
        </row>
        <row r="381">
          <cell r="I381">
            <v>208</v>
          </cell>
        </row>
        <row r="382">
          <cell r="I382">
            <v>400</v>
          </cell>
        </row>
        <row r="383">
          <cell r="I383">
            <v>621</v>
          </cell>
        </row>
        <row r="384">
          <cell r="I384">
            <v>186</v>
          </cell>
        </row>
        <row r="385">
          <cell r="I385">
            <v>595</v>
          </cell>
        </row>
        <row r="386">
          <cell r="I386">
            <v>1319</v>
          </cell>
        </row>
        <row r="387">
          <cell r="I387">
            <v>577</v>
          </cell>
        </row>
        <row r="388">
          <cell r="I388">
            <v>0</v>
          </cell>
        </row>
        <row r="389">
          <cell r="I389">
            <v>0</v>
          </cell>
        </row>
        <row r="390">
          <cell r="I390">
            <v>0</v>
          </cell>
        </row>
        <row r="391">
          <cell r="I391">
            <v>1465</v>
          </cell>
        </row>
        <row r="392">
          <cell r="I392">
            <v>877</v>
          </cell>
        </row>
        <row r="393">
          <cell r="I393">
            <v>293</v>
          </cell>
        </row>
        <row r="394">
          <cell r="I394">
            <v>863</v>
          </cell>
        </row>
        <row r="395">
          <cell r="I395">
            <v>794</v>
          </cell>
        </row>
        <row r="396">
          <cell r="I396">
            <v>118</v>
          </cell>
        </row>
        <row r="397">
          <cell r="I397">
            <v>329</v>
          </cell>
        </row>
        <row r="398">
          <cell r="I398">
            <v>167</v>
          </cell>
        </row>
        <row r="399">
          <cell r="I399">
            <v>285</v>
          </cell>
        </row>
        <row r="400">
          <cell r="I400">
            <v>345</v>
          </cell>
        </row>
        <row r="401">
          <cell r="I401">
            <v>557</v>
          </cell>
        </row>
        <row r="402">
          <cell r="I402">
            <v>350</v>
          </cell>
        </row>
        <row r="403">
          <cell r="I403">
            <v>765</v>
          </cell>
        </row>
        <row r="404">
          <cell r="I404">
            <v>327</v>
          </cell>
        </row>
        <row r="405">
          <cell r="I405">
            <v>508</v>
          </cell>
        </row>
        <row r="406">
          <cell r="I406">
            <v>341</v>
          </cell>
        </row>
        <row r="407">
          <cell r="I407">
            <v>351</v>
          </cell>
        </row>
        <row r="408">
          <cell r="I408">
            <v>2</v>
          </cell>
        </row>
        <row r="409">
          <cell r="I409">
            <v>714</v>
          </cell>
        </row>
        <row r="410">
          <cell r="I410">
            <v>372</v>
          </cell>
        </row>
        <row r="411">
          <cell r="I411">
            <v>326</v>
          </cell>
        </row>
        <row r="412">
          <cell r="I412">
            <v>276</v>
          </cell>
        </row>
        <row r="413">
          <cell r="I413">
            <v>327</v>
          </cell>
        </row>
        <row r="414">
          <cell r="I414">
            <v>366</v>
          </cell>
        </row>
        <row r="415">
          <cell r="I415">
            <v>433</v>
          </cell>
        </row>
        <row r="416">
          <cell r="I416">
            <v>166</v>
          </cell>
        </row>
        <row r="417">
          <cell r="I417">
            <v>219</v>
          </cell>
        </row>
        <row r="418">
          <cell r="I418">
            <v>1121</v>
          </cell>
        </row>
        <row r="419">
          <cell r="I419">
            <v>1220</v>
          </cell>
        </row>
        <row r="420">
          <cell r="I420">
            <v>806</v>
          </cell>
        </row>
        <row r="421">
          <cell r="I421">
            <v>341</v>
          </cell>
        </row>
        <row r="422">
          <cell r="I422">
            <v>490</v>
          </cell>
        </row>
        <row r="423">
          <cell r="I423">
            <v>448</v>
          </cell>
        </row>
        <row r="424">
          <cell r="I424">
            <v>312</v>
          </cell>
        </row>
        <row r="425">
          <cell r="I425">
            <v>273</v>
          </cell>
        </row>
        <row r="426">
          <cell r="I426">
            <v>378</v>
          </cell>
        </row>
        <row r="427">
          <cell r="I427">
            <v>240</v>
          </cell>
        </row>
        <row r="428">
          <cell r="I428">
            <v>377</v>
          </cell>
        </row>
        <row r="429">
          <cell r="I429">
            <v>228</v>
          </cell>
        </row>
        <row r="430">
          <cell r="I430">
            <v>209</v>
          </cell>
        </row>
        <row r="431">
          <cell r="I431">
            <v>202</v>
          </cell>
        </row>
        <row r="432">
          <cell r="I432">
            <v>550</v>
          </cell>
        </row>
        <row r="433">
          <cell r="I433">
            <v>1279</v>
          </cell>
        </row>
        <row r="434">
          <cell r="I434">
            <v>317</v>
          </cell>
        </row>
        <row r="435">
          <cell r="I435">
            <v>1634</v>
          </cell>
        </row>
        <row r="436">
          <cell r="I436">
            <v>1521</v>
          </cell>
        </row>
        <row r="437">
          <cell r="I437">
            <v>288</v>
          </cell>
        </row>
        <row r="438">
          <cell r="I438">
            <v>198</v>
          </cell>
        </row>
        <row r="439">
          <cell r="I439">
            <v>408</v>
          </cell>
        </row>
        <row r="440">
          <cell r="I440">
            <v>441</v>
          </cell>
        </row>
        <row r="441">
          <cell r="I441">
            <v>48</v>
          </cell>
        </row>
        <row r="442">
          <cell r="I442">
            <v>517</v>
          </cell>
        </row>
        <row r="443">
          <cell r="I443">
            <v>346</v>
          </cell>
        </row>
        <row r="444">
          <cell r="I444">
            <v>4</v>
          </cell>
        </row>
        <row r="445">
          <cell r="I445">
            <v>347</v>
          </cell>
        </row>
        <row r="446">
          <cell r="I446">
            <v>315</v>
          </cell>
        </row>
        <row r="447">
          <cell r="I447">
            <v>945</v>
          </cell>
        </row>
        <row r="448">
          <cell r="I448">
            <v>262</v>
          </cell>
        </row>
        <row r="449">
          <cell r="I449">
            <v>204</v>
          </cell>
        </row>
        <row r="450">
          <cell r="I450">
            <v>350</v>
          </cell>
        </row>
        <row r="451">
          <cell r="I451">
            <v>338</v>
          </cell>
        </row>
        <row r="452">
          <cell r="I452">
            <v>772</v>
          </cell>
        </row>
        <row r="453">
          <cell r="I453">
            <v>16</v>
          </cell>
        </row>
        <row r="454">
          <cell r="I454">
            <v>76</v>
          </cell>
        </row>
        <row r="455">
          <cell r="I455">
            <v>1087</v>
          </cell>
        </row>
        <row r="456">
          <cell r="I456">
            <v>418</v>
          </cell>
        </row>
        <row r="457">
          <cell r="I457">
            <v>328</v>
          </cell>
        </row>
        <row r="458">
          <cell r="I458">
            <v>1051</v>
          </cell>
        </row>
        <row r="459">
          <cell r="I459">
            <v>2</v>
          </cell>
        </row>
        <row r="460">
          <cell r="I460">
            <v>425</v>
          </cell>
        </row>
        <row r="461">
          <cell r="I461">
            <v>481</v>
          </cell>
        </row>
        <row r="462">
          <cell r="I462">
            <v>616</v>
          </cell>
        </row>
        <row r="463">
          <cell r="I463">
            <v>84</v>
          </cell>
        </row>
        <row r="464">
          <cell r="I464">
            <v>678</v>
          </cell>
        </row>
        <row r="465">
          <cell r="I465">
            <v>384</v>
          </cell>
        </row>
        <row r="466">
          <cell r="I466">
            <v>213</v>
          </cell>
        </row>
        <row r="467">
          <cell r="I467">
            <v>524</v>
          </cell>
        </row>
        <row r="468">
          <cell r="I468">
            <v>592</v>
          </cell>
        </row>
        <row r="469">
          <cell r="I469">
            <v>1364</v>
          </cell>
        </row>
        <row r="470">
          <cell r="I470">
            <v>355</v>
          </cell>
        </row>
        <row r="471">
          <cell r="I471">
            <v>310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E8" sqref="E8"/>
    </sheetView>
  </sheetViews>
  <sheetFormatPr defaultColWidth="9.11111111111111" defaultRowHeight="14.4" outlineLevelCol="6"/>
  <cols>
    <col min="1" max="1" width="29.5555555555556" customWidth="1"/>
    <col min="2" max="2" width="13.6666666666667" customWidth="1"/>
    <col min="3" max="3" width="9.11111111111111" customWidth="1"/>
    <col min="4" max="4" width="11.4444444444444" customWidth="1"/>
    <col min="5" max="5" width="10.6666666666667" customWidth="1"/>
    <col min="6" max="6" width="6.88888888888889" customWidth="1"/>
    <col min="7" max="7" width="12.7777777777778" customWidth="1"/>
    <col min="8" max="16384" width="9.1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2">
        <f ca="1">COUNTIFS('[1]DATA EDCPRO'!F:F,A2,'[1]DATA EDCPRO'!I:I,$D$5)</f>
        <v>0</v>
      </c>
      <c r="C2" s="2">
        <f ca="1">COUNTIFS('[1]DATA EDCPRO'!F:F,A2,'[1]DATA EDCPRO'!I:I,$E$5)</f>
        <v>15</v>
      </c>
      <c r="D2" s="2">
        <f ca="1" t="shared" ref="D2:D23" si="0">SUM(B2:C2)</f>
        <v>15</v>
      </c>
      <c r="E2" s="3">
        <f ca="1" t="shared" ref="E2:E23" si="1">C2/D2*100</f>
        <v>100</v>
      </c>
      <c r="F2" s="2">
        <v>95</v>
      </c>
      <c r="G2" s="4">
        <f ca="1" t="shared" ref="G2:G23" si="2">E2/F2*100</f>
        <v>125</v>
      </c>
    </row>
    <row r="3" spans="1:7">
      <c r="A3" s="1" t="s">
        <v>8</v>
      </c>
      <c r="B3" s="2">
        <f ca="1">COUNTIFS('[1]DATA EDCPRO'!F:F,A3,'[1]DATA EDCPRO'!I:I,$D$5)</f>
        <v>0</v>
      </c>
      <c r="C3" s="2">
        <f ca="1">COUNTIFS('[1]DATA EDCPRO'!F:F,A3,'[1]DATA EDCPRO'!I:I,$E$5)</f>
        <v>11</v>
      </c>
      <c r="D3" s="2">
        <f ca="1" t="shared" si="0"/>
        <v>11</v>
      </c>
      <c r="E3" s="3">
        <f ca="1" t="shared" si="1"/>
        <v>100</v>
      </c>
      <c r="F3" s="2">
        <v>95</v>
      </c>
      <c r="G3" s="4">
        <f ca="1" t="shared" si="2"/>
        <v>125</v>
      </c>
    </row>
    <row r="4" spans="1:7">
      <c r="A4" s="1" t="s">
        <v>9</v>
      </c>
      <c r="B4" s="2">
        <f ca="1">COUNTIFS('[1]DATA EDCPRO'!F:F,A4,'[1]DATA EDCPRO'!I:I,$D$5)</f>
        <v>1</v>
      </c>
      <c r="C4" s="2">
        <f ca="1">COUNTIFS('[1]DATA EDCPRO'!F:F,A4,'[1]DATA EDCPRO'!I:I,$E$5)</f>
        <v>16</v>
      </c>
      <c r="D4" s="2">
        <f ca="1" t="shared" si="0"/>
        <v>17</v>
      </c>
      <c r="E4" s="3">
        <f ca="1" t="shared" si="1"/>
        <v>94.1176470588235</v>
      </c>
      <c r="F4" s="2">
        <v>95</v>
      </c>
      <c r="G4" s="4">
        <f ca="1" t="shared" si="2"/>
        <v>117.647058823529</v>
      </c>
    </row>
    <row r="5" spans="1:7">
      <c r="A5" s="1" t="s">
        <v>10</v>
      </c>
      <c r="B5" s="2">
        <f ca="1">COUNTIFS('[1]DATA EDCPRO'!F:F,A5,'[1]DATA EDCPRO'!I:I,$D$5)</f>
        <v>3</v>
      </c>
      <c r="C5" s="2">
        <f ca="1">COUNTIFS('[1]DATA EDCPRO'!F:F,A5,'[1]DATA EDCPRO'!I:I,$E$5)</f>
        <v>32</v>
      </c>
      <c r="D5" s="2">
        <f ca="1" t="shared" si="0"/>
        <v>35</v>
      </c>
      <c r="E5" s="3">
        <f ca="1" t="shared" si="1"/>
        <v>91.4285714285714</v>
      </c>
      <c r="F5" s="2">
        <v>95</v>
      </c>
      <c r="G5" s="4">
        <f ca="1" t="shared" si="2"/>
        <v>114.285714285714</v>
      </c>
    </row>
    <row r="6" spans="1:7">
      <c r="A6" s="1" t="s">
        <v>11</v>
      </c>
      <c r="B6" s="2">
        <f ca="1">COUNTIFS('[1]DATA EDCPRO'!F:F,A6,'[1]DATA EDCPRO'!I:I,$D$5)</f>
        <v>2</v>
      </c>
      <c r="C6" s="2">
        <f ca="1">COUNTIFS('[1]DATA EDCPRO'!F:F,A6,'[1]DATA EDCPRO'!I:I,$E$5)</f>
        <v>18</v>
      </c>
      <c r="D6" s="2">
        <f ca="1" t="shared" si="0"/>
        <v>20</v>
      </c>
      <c r="E6" s="3">
        <f ca="1" t="shared" si="1"/>
        <v>90</v>
      </c>
      <c r="F6" s="2">
        <v>95</v>
      </c>
      <c r="G6" s="4">
        <f ca="1" t="shared" si="2"/>
        <v>112.5</v>
      </c>
    </row>
    <row r="7" spans="1:7">
      <c r="A7" s="1" t="s">
        <v>12</v>
      </c>
      <c r="B7" s="2">
        <f ca="1">COUNTIFS('[1]DATA EDCPRO'!F:F,A7,'[1]DATA EDCPRO'!I:I,$D$5)</f>
        <v>1</v>
      </c>
      <c r="C7" s="2">
        <f ca="1">COUNTIFS('[1]DATA EDCPRO'!F:F,A7,'[1]DATA EDCPRO'!I:I,$E$5)</f>
        <v>9</v>
      </c>
      <c r="D7" s="2">
        <f ca="1" t="shared" si="0"/>
        <v>10</v>
      </c>
      <c r="E7" s="3">
        <f ca="1" t="shared" si="1"/>
        <v>90</v>
      </c>
      <c r="F7" s="2">
        <v>95</v>
      </c>
      <c r="G7" s="4">
        <f ca="1" t="shared" si="2"/>
        <v>112.5</v>
      </c>
    </row>
    <row r="8" spans="1:7">
      <c r="A8" s="1" t="s">
        <v>13</v>
      </c>
      <c r="B8" s="2">
        <f ca="1">COUNTIFS('[1]DATA EDCPRO'!F:F,A8,'[1]DATA EDCPRO'!I:I,$D$5)</f>
        <v>2</v>
      </c>
      <c r="C8" s="2">
        <f ca="1">COUNTIFS('[1]DATA EDCPRO'!F:F,A8,'[1]DATA EDCPRO'!I:I,$E$5)</f>
        <v>17</v>
      </c>
      <c r="D8" s="2">
        <f ca="1" t="shared" si="0"/>
        <v>19</v>
      </c>
      <c r="E8" s="3">
        <f ca="1" t="shared" si="1"/>
        <v>89.4736842105263</v>
      </c>
      <c r="F8" s="2">
        <v>95</v>
      </c>
      <c r="G8" s="4">
        <f ca="1" t="shared" si="2"/>
        <v>111.842105263158</v>
      </c>
    </row>
    <row r="9" spans="1:7">
      <c r="A9" s="1" t="s">
        <v>14</v>
      </c>
      <c r="B9" s="2">
        <f ca="1">COUNTIFS('[1]DATA EDCPRO'!F:F,A9,'[1]DATA EDCPRO'!I:I,$D$5)</f>
        <v>4</v>
      </c>
      <c r="C9" s="2">
        <f ca="1">COUNTIFS('[1]DATA EDCPRO'!F:F,A9,'[1]DATA EDCPRO'!I:I,$E$5)</f>
        <v>23</v>
      </c>
      <c r="D9" s="2">
        <f ca="1" t="shared" si="0"/>
        <v>27</v>
      </c>
      <c r="E9" s="3">
        <f ca="1" t="shared" si="1"/>
        <v>85.1851851851852</v>
      </c>
      <c r="F9" s="2">
        <v>95</v>
      </c>
      <c r="G9" s="4">
        <f ca="1" t="shared" si="2"/>
        <v>106.481481481481</v>
      </c>
    </row>
    <row r="10" spans="1:7">
      <c r="A10" s="1" t="s">
        <v>15</v>
      </c>
      <c r="B10" s="2">
        <f ca="1">COUNTIFS('[1]DATA EDCPRO'!F:F,A10,'[1]DATA EDCPRO'!I:I,$D$5)</f>
        <v>5</v>
      </c>
      <c r="C10" s="2">
        <f ca="1">COUNTIFS('[1]DATA EDCPRO'!F:F,A10,'[1]DATA EDCPRO'!I:I,$E$5)</f>
        <v>28</v>
      </c>
      <c r="D10" s="2">
        <f ca="1" t="shared" si="0"/>
        <v>33</v>
      </c>
      <c r="E10" s="3">
        <f ca="1" t="shared" si="1"/>
        <v>84.8484848484848</v>
      </c>
      <c r="F10" s="2">
        <v>95</v>
      </c>
      <c r="G10" s="4">
        <f ca="1" t="shared" si="2"/>
        <v>106.060606060606</v>
      </c>
    </row>
    <row r="11" spans="1:7">
      <c r="A11" s="1" t="s">
        <v>16</v>
      </c>
      <c r="B11" s="2">
        <f ca="1">COUNTIFS('[1]DATA EDCPRO'!F:F,A11,'[1]DATA EDCPRO'!I:I,$D$5)</f>
        <v>4</v>
      </c>
      <c r="C11" s="2">
        <f ca="1">COUNTIFS('[1]DATA EDCPRO'!F:F,A11,'[1]DATA EDCPRO'!I:I,$E$5)</f>
        <v>22</v>
      </c>
      <c r="D11" s="2">
        <f ca="1" t="shared" si="0"/>
        <v>26</v>
      </c>
      <c r="E11" s="3">
        <f ca="1" t="shared" si="1"/>
        <v>84.6153846153846</v>
      </c>
      <c r="F11" s="2">
        <v>95</v>
      </c>
      <c r="G11" s="4">
        <f ca="1" t="shared" si="2"/>
        <v>105.769230769231</v>
      </c>
    </row>
    <row r="12" spans="1:7">
      <c r="A12" s="1" t="s">
        <v>17</v>
      </c>
      <c r="B12" s="2">
        <f ca="1">COUNTIFS('[1]DATA EDCPRO'!F:F,A12,'[1]DATA EDCPRO'!I:I,$D$5)</f>
        <v>4</v>
      </c>
      <c r="C12" s="2">
        <f ca="1">COUNTIFS('[1]DATA EDCPRO'!F:F,A12,'[1]DATA EDCPRO'!I:I,$E$5)</f>
        <v>22</v>
      </c>
      <c r="D12" s="2">
        <f ca="1" t="shared" si="0"/>
        <v>26</v>
      </c>
      <c r="E12" s="3">
        <f ca="1" t="shared" si="1"/>
        <v>84.6153846153846</v>
      </c>
      <c r="F12" s="2">
        <v>95</v>
      </c>
      <c r="G12" s="4">
        <f ca="1" t="shared" si="2"/>
        <v>105.769230769231</v>
      </c>
    </row>
    <row r="13" spans="1:7">
      <c r="A13" s="1" t="s">
        <v>18</v>
      </c>
      <c r="B13" s="2">
        <f ca="1">COUNTIFS('[1]DATA EDCPRO'!F:F,A13,'[1]DATA EDCPRO'!I:I,$D$5)</f>
        <v>2</v>
      </c>
      <c r="C13" s="2">
        <f ca="1">COUNTIFS('[1]DATA EDCPRO'!F:F,A13,'[1]DATA EDCPRO'!I:I,$E$5)</f>
        <v>11</v>
      </c>
      <c r="D13" s="2">
        <f ca="1" t="shared" si="0"/>
        <v>13</v>
      </c>
      <c r="E13" s="3">
        <f ca="1" t="shared" si="1"/>
        <v>84.6153846153846</v>
      </c>
      <c r="F13" s="2">
        <v>95</v>
      </c>
      <c r="G13" s="4">
        <f ca="1" t="shared" si="2"/>
        <v>105.769230769231</v>
      </c>
    </row>
    <row r="14" spans="1:7">
      <c r="A14" s="1" t="s">
        <v>19</v>
      </c>
      <c r="B14" s="2">
        <f ca="1">COUNTIFS('[1]DATA EDCPRO'!F:F,A14,'[1]DATA EDCPRO'!I:I,$D$5)</f>
        <v>2</v>
      </c>
      <c r="C14" s="2">
        <f ca="1">COUNTIFS('[1]DATA EDCPRO'!F:F,A14,'[1]DATA EDCPRO'!I:I,$E$5)</f>
        <v>9</v>
      </c>
      <c r="D14" s="2">
        <f ca="1" t="shared" si="0"/>
        <v>11</v>
      </c>
      <c r="E14" s="3">
        <f ca="1" t="shared" si="1"/>
        <v>81.8181818181818</v>
      </c>
      <c r="F14" s="2">
        <v>95</v>
      </c>
      <c r="G14" s="4">
        <f ca="1" t="shared" si="2"/>
        <v>102.272727272727</v>
      </c>
    </row>
    <row r="15" spans="1:7">
      <c r="A15" s="1" t="s">
        <v>20</v>
      </c>
      <c r="B15" s="2">
        <f ca="1">COUNTIFS('[1]DATA EDCPRO'!F:F,A15,'[1]DATA EDCPRO'!I:I,$D$5)</f>
        <v>7</v>
      </c>
      <c r="C15" s="2">
        <f ca="1">COUNTIFS('[1]DATA EDCPRO'!F:F,A15,'[1]DATA EDCPRO'!I:I,$E$5)</f>
        <v>29</v>
      </c>
      <c r="D15" s="2">
        <f ca="1" t="shared" si="0"/>
        <v>36</v>
      </c>
      <c r="E15" s="3">
        <f ca="1" t="shared" si="1"/>
        <v>80.5555555555556</v>
      </c>
      <c r="F15" s="2">
        <v>95</v>
      </c>
      <c r="G15" s="4">
        <f ca="1" t="shared" si="2"/>
        <v>100.694444444444</v>
      </c>
    </row>
    <row r="16" spans="1:7">
      <c r="A16" s="1" t="s">
        <v>21</v>
      </c>
      <c r="B16" s="2">
        <f ca="1">COUNTIFS('[1]DATA EDCPRO'!F:F,A16,'[1]DATA EDCPRO'!I:I,$D$5)</f>
        <v>2</v>
      </c>
      <c r="C16" s="2">
        <f ca="1">COUNTIFS('[1]DATA EDCPRO'!F:F,A16,'[1]DATA EDCPRO'!I:I,$E$5)</f>
        <v>8</v>
      </c>
      <c r="D16" s="2">
        <f ca="1" t="shared" si="0"/>
        <v>10</v>
      </c>
      <c r="E16" s="3">
        <f ca="1" t="shared" si="1"/>
        <v>80</v>
      </c>
      <c r="F16" s="2">
        <v>95</v>
      </c>
      <c r="G16" s="4">
        <f ca="1" t="shared" si="2"/>
        <v>100</v>
      </c>
    </row>
    <row r="17" spans="1:7">
      <c r="A17" s="1" t="s">
        <v>22</v>
      </c>
      <c r="B17" s="2">
        <f ca="1">COUNTIFS('[1]DATA EDCPRO'!F:F,A17,'[1]DATA EDCPRO'!I:I,$D$5)</f>
        <v>4</v>
      </c>
      <c r="C17" s="2">
        <f ca="1">COUNTIFS('[1]DATA EDCPRO'!F:F,A17,'[1]DATA EDCPRO'!I:I,$E$5)</f>
        <v>15</v>
      </c>
      <c r="D17" s="2">
        <f ca="1" t="shared" si="0"/>
        <v>19</v>
      </c>
      <c r="E17" s="3">
        <f ca="1" t="shared" si="1"/>
        <v>78.9473684210526</v>
      </c>
      <c r="F17" s="2">
        <v>95</v>
      </c>
      <c r="G17" s="4">
        <f ca="1" t="shared" si="2"/>
        <v>98.6842105263158</v>
      </c>
    </row>
    <row r="18" spans="1:7">
      <c r="A18" s="1" t="s">
        <v>23</v>
      </c>
      <c r="B18" s="2">
        <f ca="1">COUNTIFS('[1]DATA EDCPRO'!F:F,A18,'[1]DATA EDCPRO'!I:I,$D$5)</f>
        <v>6</v>
      </c>
      <c r="C18" s="2">
        <f ca="1">COUNTIFS('[1]DATA EDCPRO'!F:F,A18,'[1]DATA EDCPRO'!I:I,$E$5)</f>
        <v>22</v>
      </c>
      <c r="D18" s="2">
        <f ca="1" t="shared" si="0"/>
        <v>28</v>
      </c>
      <c r="E18" s="3">
        <f ca="1" t="shared" si="1"/>
        <v>78.5714285714286</v>
      </c>
      <c r="F18" s="2">
        <v>95</v>
      </c>
      <c r="G18" s="4">
        <f ca="1" t="shared" si="2"/>
        <v>98.2142857142857</v>
      </c>
    </row>
    <row r="19" spans="1:7">
      <c r="A19" s="1" t="s">
        <v>24</v>
      </c>
      <c r="B19" s="2">
        <f ca="1">COUNTIFS('[1]DATA EDCPRO'!F:F,A19,'[1]DATA EDCPRO'!I:I,$D$5)</f>
        <v>4</v>
      </c>
      <c r="C19" s="2">
        <f ca="1">COUNTIFS('[1]DATA EDCPRO'!F:F,A19,'[1]DATA EDCPRO'!I:I,$E$5)</f>
        <v>14</v>
      </c>
      <c r="D19" s="2">
        <f ca="1" t="shared" si="0"/>
        <v>18</v>
      </c>
      <c r="E19" s="3">
        <f ca="1" t="shared" si="1"/>
        <v>77.7777777777778</v>
      </c>
      <c r="F19" s="2">
        <v>95</v>
      </c>
      <c r="G19" s="4">
        <f ca="1" t="shared" si="2"/>
        <v>97.2222222222222</v>
      </c>
    </row>
    <row r="20" spans="1:7">
      <c r="A20" s="1" t="s">
        <v>25</v>
      </c>
      <c r="B20" s="2">
        <f ca="1">COUNTIFS('[1]DATA EDCPRO'!F:F,A20,'[1]DATA EDCPRO'!I:I,$D$5)</f>
        <v>4</v>
      </c>
      <c r="C20" s="2">
        <f ca="1">COUNTIFS('[1]DATA EDCPRO'!F:F,A20,'[1]DATA EDCPRO'!I:I,$E$5)</f>
        <v>13</v>
      </c>
      <c r="D20" s="2">
        <f ca="1" t="shared" si="0"/>
        <v>17</v>
      </c>
      <c r="E20" s="3">
        <f ca="1" t="shared" si="1"/>
        <v>76.4705882352941</v>
      </c>
      <c r="F20" s="2">
        <v>95</v>
      </c>
      <c r="G20" s="4">
        <f ca="1" t="shared" si="2"/>
        <v>95.5882352941176</v>
      </c>
    </row>
    <row r="21" spans="1:7">
      <c r="A21" s="1" t="s">
        <v>26</v>
      </c>
      <c r="B21" s="2">
        <f ca="1">COUNTIFS('[1]DATA EDCPRO'!F:F,A21,'[1]DATA EDCPRO'!I:I,$D$5)</f>
        <v>5</v>
      </c>
      <c r="C21" s="2">
        <f ca="1">COUNTIFS('[1]DATA EDCPRO'!F:F,A21,'[1]DATA EDCPRO'!I:I,$E$5)</f>
        <v>15</v>
      </c>
      <c r="D21" s="2">
        <f ca="1" t="shared" si="0"/>
        <v>20</v>
      </c>
      <c r="E21" s="3">
        <f ca="1" t="shared" si="1"/>
        <v>75</v>
      </c>
      <c r="F21" s="2">
        <v>95</v>
      </c>
      <c r="G21" s="4">
        <f ca="1" t="shared" si="2"/>
        <v>93.75</v>
      </c>
    </row>
    <row r="22" spans="1:7">
      <c r="A22" s="1" t="s">
        <v>27</v>
      </c>
      <c r="B22" s="2">
        <f ca="1">COUNTIFS('[1]DATA EDCPRO'!F:F,A22,'[1]DATA EDCPRO'!I:I,$D$5)</f>
        <v>10</v>
      </c>
      <c r="C22" s="2">
        <f ca="1">COUNTIFS('[1]DATA EDCPRO'!F:F,A22,'[1]DATA EDCPRO'!I:I,$E$5)</f>
        <v>25</v>
      </c>
      <c r="D22" s="2">
        <f ca="1" t="shared" si="0"/>
        <v>35</v>
      </c>
      <c r="E22" s="3">
        <f ca="1" t="shared" si="1"/>
        <v>71.4285714285714</v>
      </c>
      <c r="F22" s="2">
        <v>95</v>
      </c>
      <c r="G22" s="4">
        <f ca="1" t="shared" si="2"/>
        <v>89.2857142857143</v>
      </c>
    </row>
    <row r="23" spans="1:7">
      <c r="A23" s="1" t="s">
        <v>28</v>
      </c>
      <c r="B23" s="2">
        <f ca="1">COUNTIFS('[1]DATA EDCPRO'!F:F,A23,'[1]DATA EDCPRO'!I:I,$D$5)</f>
        <v>6</v>
      </c>
      <c r="C23" s="2">
        <f ca="1">COUNTIFS('[1]DATA EDCPRO'!F:F,A23,'[1]DATA EDCPRO'!I:I,$E$5)</f>
        <v>14</v>
      </c>
      <c r="D23" s="2">
        <f ca="1" t="shared" si="0"/>
        <v>20</v>
      </c>
      <c r="E23" s="3">
        <f ca="1" t="shared" si="1"/>
        <v>70</v>
      </c>
      <c r="F23" s="2">
        <v>95</v>
      </c>
      <c r="G23" s="4">
        <f ca="1" t="shared" si="2"/>
        <v>87.5</v>
      </c>
    </row>
  </sheetData>
  <conditionalFormatting sqref="G2:G23">
    <cfRule type="cellIs" dxfId="0" priority="3" operator="between">
      <formula>0</formula>
      <formula>49.99</formula>
    </cfRule>
    <cfRule type="cellIs" dxfId="1" priority="2" operator="between">
      <formula>50</formula>
      <formula>99.99</formula>
    </cfRule>
    <cfRule type="cellIs" dxfId="2" priority="1" operator="between">
      <formula>100</formula>
      <formula>200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2025-09-16T01:50:45Z</dcterms:created>
  <dcterms:modified xsi:type="dcterms:W3CDTF">2025-09-16T02:19:41Z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8B34981CE1CD4B4B800C4B3BD504D711_11</vt:lpwstr>
  </property>
  <property fmtid="{D5CDD505-2E9C-101B-9397-08002B2CF9AE}" pid="3" name="KSOProductBuildVer">
    <vt:lpwstr>1033-12.2.0.22549</vt:lpwstr>
  </property>
</Properties>
</file>